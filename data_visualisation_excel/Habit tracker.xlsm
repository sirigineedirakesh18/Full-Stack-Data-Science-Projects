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rig\Downloads\"/>
    </mc:Choice>
  </mc:AlternateContent>
  <xr:revisionPtr revIDLastSave="0" documentId="13_ncr:1_{1C7D7F88-2BE9-4D4D-A626-9414A21C6394}" xr6:coauthVersionLast="47" xr6:coauthVersionMax="47" xr10:uidLastSave="{00000000-0000-0000-0000-000000000000}"/>
  <bookViews>
    <workbookView xWindow="-103" yWindow="-103" windowWidth="22149" windowHeight="13200" xr2:uid="{37527B1F-C96F-4248-90C2-3CEBE2430F11}"/>
  </bookViews>
  <sheets>
    <sheet name="MAY" sheetId="1" r:id="rId1"/>
  </sheets>
  <definedNames>
    <definedName name="_xlpm.streaks" hidden="1" xlm="1">#NAME?</definedName>
    <definedName name="_xlpm.val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8" i="1" l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17" i="1"/>
  <c r="AH18" i="1" a="1"/>
  <c r="AH18" i="1" s="1"/>
  <c r="AH19" i="1" a="1"/>
  <c r="AH19" i="1" s="1"/>
  <c r="AH20" i="1" a="1"/>
  <c r="AH20" i="1" s="1"/>
  <c r="AH21" i="1" a="1"/>
  <c r="AH21" i="1" s="1"/>
  <c r="AH22" i="1" a="1"/>
  <c r="AH22" i="1" s="1"/>
  <c r="AH23" i="1" a="1"/>
  <c r="AH23" i="1"/>
  <c r="AH24" i="1" a="1"/>
  <c r="AH24" i="1" s="1"/>
  <c r="AH25" i="1" a="1"/>
  <c r="AH25" i="1" s="1"/>
  <c r="AH26" i="1" a="1"/>
  <c r="AH26" i="1" s="1"/>
  <c r="AH27" i="1" a="1"/>
  <c r="AH27" i="1" s="1"/>
  <c r="AH28" i="1" a="1"/>
  <c r="AH28" i="1" s="1"/>
  <c r="AH29" i="1" a="1"/>
  <c r="AH29" i="1"/>
  <c r="AH30" i="1" a="1"/>
  <c r="AH30" i="1" s="1"/>
  <c r="AH31" i="1" a="1"/>
  <c r="AH31" i="1" s="1"/>
  <c r="AH32" i="1" a="1"/>
  <c r="AH32" i="1" s="1"/>
  <c r="AH33" i="1" a="1"/>
  <c r="AH33" i="1" s="1"/>
  <c r="AH34" i="1" a="1"/>
  <c r="AH34" i="1"/>
  <c r="AH35" i="1" a="1"/>
  <c r="AH35" i="1" s="1"/>
  <c r="AH36" i="1" a="1"/>
  <c r="AH36" i="1" s="1"/>
  <c r="AH17" i="1" a="1"/>
  <c r="AH17" i="1" s="1"/>
  <c r="D11" i="1"/>
  <c r="E11" i="1"/>
  <c r="F11" i="1"/>
  <c r="G11" i="1"/>
  <c r="H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I11" i="1"/>
  <c r="I10" i="1"/>
  <c r="C10" i="1"/>
  <c r="D10" i="1"/>
  <c r="E10" i="1"/>
  <c r="F10" i="1"/>
  <c r="G10" i="1"/>
  <c r="H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E9" i="1"/>
  <c r="F9" i="1"/>
  <c r="H9" i="1"/>
  <c r="P9" i="1"/>
  <c r="D8" i="1"/>
  <c r="D9" i="1" s="1"/>
  <c r="E8" i="1"/>
  <c r="F8" i="1"/>
  <c r="G8" i="1"/>
  <c r="G9" i="1" s="1"/>
  <c r="H8" i="1"/>
  <c r="I8" i="1"/>
  <c r="I9" i="1" s="1"/>
  <c r="J8" i="1"/>
  <c r="J9" i="1" s="1"/>
  <c r="K8" i="1"/>
  <c r="K9" i="1" s="1"/>
  <c r="L8" i="1"/>
  <c r="L9" i="1" s="1"/>
  <c r="M8" i="1"/>
  <c r="M9" i="1" s="1"/>
  <c r="N8" i="1"/>
  <c r="N9" i="1" s="1"/>
  <c r="O8" i="1"/>
  <c r="O9" i="1" s="1"/>
  <c r="P8" i="1"/>
  <c r="Q8" i="1"/>
  <c r="Q9" i="1" s="1"/>
  <c r="R8" i="1"/>
  <c r="R9" i="1" s="1"/>
  <c r="S8" i="1"/>
  <c r="S9" i="1" s="1"/>
  <c r="T8" i="1"/>
  <c r="T9" i="1" s="1"/>
  <c r="U8" i="1"/>
  <c r="U9" i="1" s="1"/>
  <c r="V8" i="1"/>
  <c r="V9" i="1" s="1"/>
  <c r="W8" i="1"/>
  <c r="W9" i="1" s="1"/>
  <c r="X8" i="1"/>
  <c r="X9" i="1" s="1"/>
  <c r="Y8" i="1"/>
  <c r="Y9" i="1" s="1"/>
  <c r="Z8" i="1"/>
  <c r="Z9" i="1" s="1"/>
  <c r="AA8" i="1"/>
  <c r="AA9" i="1" s="1"/>
  <c r="AB8" i="1"/>
  <c r="AB9" i="1" s="1"/>
  <c r="AC8" i="1"/>
  <c r="AC9" i="1" s="1"/>
  <c r="AD8" i="1"/>
  <c r="AD9" i="1" s="1"/>
  <c r="AE8" i="1"/>
  <c r="AE9" i="1" s="1"/>
  <c r="AF8" i="1"/>
  <c r="AF9" i="1" s="1"/>
  <c r="AG8" i="1"/>
  <c r="AG9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C7" i="1"/>
  <c r="D62" i="1"/>
  <c r="E16" i="1" s="1"/>
  <c r="C62" i="1"/>
  <c r="D16" i="1" s="1"/>
  <c r="B62" i="1"/>
  <c r="C16" i="1" s="1"/>
  <c r="A1" i="1"/>
  <c r="AH10" i="1" l="1"/>
  <c r="E62" i="1"/>
  <c r="F62" i="1" l="1"/>
  <c r="F16" i="1"/>
  <c r="G62" i="1" l="1"/>
  <c r="G16" i="1"/>
  <c r="H62" i="1" l="1"/>
  <c r="H16" i="1"/>
  <c r="I62" i="1" l="1"/>
  <c r="I16" i="1"/>
  <c r="J62" i="1" l="1"/>
  <c r="J16" i="1"/>
  <c r="K62" i="1" l="1"/>
  <c r="K16" i="1"/>
  <c r="L62" i="1" l="1"/>
  <c r="L16" i="1"/>
  <c r="M62" i="1" l="1"/>
  <c r="M16" i="1"/>
  <c r="N62" i="1" l="1"/>
  <c r="N16" i="1"/>
  <c r="O62" i="1" l="1"/>
  <c r="O16" i="1"/>
  <c r="P62" i="1" l="1"/>
  <c r="P16" i="1"/>
  <c r="Q62" i="1" l="1"/>
  <c r="Q16" i="1"/>
  <c r="R62" i="1" l="1"/>
  <c r="R16" i="1"/>
  <c r="S62" i="1" l="1"/>
  <c r="S16" i="1"/>
  <c r="T62" i="1" l="1"/>
  <c r="T16" i="1"/>
  <c r="U62" i="1" l="1"/>
  <c r="U16" i="1"/>
  <c r="V62" i="1" l="1"/>
  <c r="V16" i="1"/>
  <c r="W62" i="1" l="1"/>
  <c r="W16" i="1"/>
  <c r="X62" i="1" l="1"/>
  <c r="X16" i="1"/>
  <c r="Y62" i="1" l="1"/>
  <c r="Y16" i="1"/>
  <c r="Z62" i="1" l="1"/>
  <c r="Z16" i="1"/>
  <c r="AA62" i="1" l="1"/>
  <c r="AA16" i="1"/>
  <c r="AB62" i="1" l="1"/>
  <c r="AB16" i="1"/>
  <c r="AC62" i="1" l="1"/>
  <c r="AC16" i="1"/>
  <c r="AD62" i="1" l="1"/>
  <c r="AD16" i="1"/>
  <c r="AE62" i="1" l="1"/>
  <c r="AE16" i="1"/>
  <c r="AF62" i="1" l="1"/>
  <c r="AG16" i="1" s="1"/>
  <c r="AF16" i="1"/>
  <c r="C8" i="1"/>
  <c r="C9" i="1" s="1"/>
  <c r="AH9" i="1" s="1"/>
  <c r="AH8" i="1"/>
  <c r="C11" i="1"/>
  <c r="AH11" i="1" s="1"/>
  <c r="AK3" i="1" l="1"/>
  <c r="A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<sst xmlns="http://schemas.openxmlformats.org/spreadsheetml/2006/main" count="39" uniqueCount="39">
  <si>
    <t>TOTAL TASK</t>
  </si>
  <si>
    <t>TAST COMPLETED</t>
  </si>
  <si>
    <t>TASK COMPLETION %</t>
  </si>
  <si>
    <t>WEEK NAME</t>
  </si>
  <si>
    <t>DAY NUMBER</t>
  </si>
  <si>
    <t>PRODUCTIVITY %</t>
  </si>
  <si>
    <t>FITNESS &amp; MINDSETS %</t>
  </si>
  <si>
    <t>DATA ENGINEERING</t>
  </si>
  <si>
    <t>WAKE UP AT 7:00 AM</t>
  </si>
  <si>
    <t>WORKOUT BEFORE 8:00AM</t>
  </si>
  <si>
    <t xml:space="preserve"> BATH BEFORE 9:00 AM</t>
  </si>
  <si>
    <t xml:space="preserve"> HAIRCARE BEFORE 9:00 AM</t>
  </si>
  <si>
    <t>SKINCARE BEFORE 9:00AM</t>
  </si>
  <si>
    <t>STUDYING 9:00AM-1:00PM</t>
  </si>
  <si>
    <t>PYTHON</t>
  </si>
  <si>
    <t>DSA</t>
  </si>
  <si>
    <t>SQL</t>
  </si>
  <si>
    <t>POWERNAP 1 HR</t>
  </si>
  <si>
    <t>STUDYING 3:00PM-6:00PM</t>
  </si>
  <si>
    <t>AI AND ML</t>
  </si>
  <si>
    <t>PERSONAL PROJECT</t>
  </si>
  <si>
    <t>JOB APPLICATIONS 9:00AM</t>
  </si>
  <si>
    <t>CALLING RELATIVES DAILY</t>
  </si>
  <si>
    <t>REVIEW AND JOURNAL THE DAY</t>
  </si>
  <si>
    <t>MEDITATION 10 MINUTES</t>
  </si>
  <si>
    <t>WAKLKING 1 HR</t>
  </si>
  <si>
    <t>DRINK WATER 3-4L</t>
  </si>
  <si>
    <t>WEEK-1</t>
  </si>
  <si>
    <t>WEEK-2</t>
  </si>
  <si>
    <t>WEEK-3</t>
  </si>
  <si>
    <t>WEEK-4</t>
  </si>
  <si>
    <t>WEEK-5</t>
  </si>
  <si>
    <t>YOU HAVE PLANTED</t>
  </si>
  <si>
    <t>YOU HAVE GROWN</t>
  </si>
  <si>
    <t>CURRENT %</t>
  </si>
  <si>
    <t>LAST MONTH%</t>
  </si>
  <si>
    <t>LONGEST STREAK</t>
  </si>
  <si>
    <t>COMPLETION %</t>
  </si>
  <si>
    <t>HABIT 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</si>
</sst>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i/>
      <sz val="14"/>
      <color theme="1"/>
      <name val="Segoe UI Semibold"/>
      <family val="2"/>
    </font>
    <font>
      <b/>
      <sz val="10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Segoe UI"/>
      <family val="2"/>
    </font>
    <font>
      <b/>
      <sz val="4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B4A7D6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14" fontId="0" fillId="0" borderId="0" xfId="0" applyNumberFormat="1"/>
    <xf numFmtId="14" fontId="0" fillId="0" borderId="8" xfId="0" applyNumberFormat="1" applyBorder="1" applyAlignment="1">
      <alignment wrapText="1"/>
    </xf>
    <xf numFmtId="14" fontId="0" fillId="0" borderId="9" xfId="0" applyNumberFormat="1" applyBorder="1" applyAlignment="1">
      <alignment wrapText="1"/>
    </xf>
    <xf numFmtId="0" fontId="0" fillId="0" borderId="9" xfId="0" applyBorder="1" applyAlignment="1">
      <alignment wrapText="1"/>
    </xf>
    <xf numFmtId="14" fontId="0" fillId="0" borderId="11" xfId="0" applyNumberFormat="1" applyBorder="1" applyAlignment="1">
      <alignment wrapText="1"/>
    </xf>
    <xf numFmtId="14" fontId="0" fillId="0" borderId="12" xfId="0" applyNumberFormat="1" applyBorder="1" applyAlignment="1">
      <alignment wrapText="1"/>
    </xf>
    <xf numFmtId="49" fontId="2" fillId="0" borderId="9" xfId="0" applyNumberFormat="1" applyFont="1" applyBorder="1"/>
    <xf numFmtId="49" fontId="2" fillId="3" borderId="9" xfId="0" applyNumberFormat="1" applyFont="1" applyFill="1" applyBorder="1"/>
    <xf numFmtId="49" fontId="2" fillId="7" borderId="9" xfId="0" applyNumberFormat="1" applyFont="1" applyFill="1" applyBorder="1"/>
    <xf numFmtId="0" fontId="2" fillId="2" borderId="9" xfId="0" applyFont="1" applyFill="1" applyBorder="1"/>
    <xf numFmtId="0" fontId="2" fillId="0" borderId="9" xfId="0" applyFont="1" applyBorder="1"/>
    <xf numFmtId="0" fontId="2" fillId="5" borderId="9" xfId="0" applyFont="1" applyFill="1" applyBorder="1"/>
    <xf numFmtId="0" fontId="2" fillId="4" borderId="9" xfId="0" applyFont="1" applyFill="1" applyBorder="1"/>
    <xf numFmtId="0" fontId="3" fillId="0" borderId="0" xfId="0" applyFont="1" applyAlignment="1">
      <alignment wrapText="1"/>
    </xf>
    <xf numFmtId="0" fontId="6" fillId="0" borderId="0" xfId="0" applyFont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3" fillId="8" borderId="1" xfId="0" applyFont="1" applyFill="1" applyBorder="1" applyAlignment="1">
      <alignment horizontal="center" wrapText="1"/>
    </xf>
    <xf numFmtId="0" fontId="3" fillId="8" borderId="2" xfId="0" applyFont="1" applyFill="1" applyBorder="1" applyAlignment="1">
      <alignment horizontal="center" wrapText="1"/>
    </xf>
    <xf numFmtId="0" fontId="3" fillId="8" borderId="3" xfId="0" applyFont="1" applyFill="1" applyBorder="1" applyAlignment="1">
      <alignment horizontal="center" wrapText="1"/>
    </xf>
    <xf numFmtId="0" fontId="3" fillId="8" borderId="4" xfId="0" applyFont="1" applyFill="1" applyBorder="1" applyAlignment="1">
      <alignment horizontal="center" wrapText="1"/>
    </xf>
    <xf numFmtId="0" fontId="7" fillId="9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wrapText="1"/>
    </xf>
    <xf numFmtId="0" fontId="8" fillId="10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8" fillId="10" borderId="0" xfId="0" applyFont="1" applyFill="1" applyAlignment="1">
      <alignment horizontal="center" vertical="center"/>
    </xf>
    <xf numFmtId="1" fontId="0" fillId="11" borderId="6" xfId="0" applyNumberFormat="1" applyFill="1" applyBorder="1" applyAlignment="1">
      <alignment horizontal="center" vertical="center"/>
    </xf>
    <xf numFmtId="1" fontId="0" fillId="11" borderId="5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9" fontId="0" fillId="0" borderId="8" xfId="1" applyFont="1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 wrapText="1"/>
    </xf>
    <xf numFmtId="9" fontId="0" fillId="0" borderId="10" xfId="1" applyFont="1" applyBorder="1" applyAlignment="1">
      <alignment horizontal="center" vertical="center" wrapText="1"/>
    </xf>
    <xf numFmtId="9" fontId="0" fillId="0" borderId="11" xfId="1" applyFont="1" applyBorder="1" applyAlignment="1">
      <alignment horizontal="center" vertical="center" wrapText="1"/>
    </xf>
    <xf numFmtId="9" fontId="0" fillId="0" borderId="12" xfId="1" applyFont="1" applyBorder="1" applyAlignment="1">
      <alignment horizontal="center" vertical="center" wrapText="1"/>
    </xf>
    <xf numFmtId="9" fontId="0" fillId="0" borderId="13" xfId="1" applyFont="1" applyBorder="1" applyAlignment="1">
      <alignment horizontal="center" vertical="center" wrapText="1"/>
    </xf>
    <xf numFmtId="1" fontId="0" fillId="11" borderId="14" xfId="0" applyNumberFormat="1" applyFill="1" applyBorder="1" applyAlignment="1">
      <alignment horizontal="center" vertical="center"/>
    </xf>
    <xf numFmtId="14" fontId="0" fillId="0" borderId="15" xfId="0" applyNumberFormat="1" applyBorder="1" applyAlignment="1">
      <alignment wrapText="1"/>
    </xf>
    <xf numFmtId="14" fontId="0" fillId="0" borderId="16" xfId="0" applyNumberFormat="1" applyBorder="1" applyAlignment="1">
      <alignment wrapText="1"/>
    </xf>
    <xf numFmtId="0" fontId="10" fillId="9" borderId="9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9" fontId="6" fillId="0" borderId="0" xfId="0" applyNumberFormat="1" applyFont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10" fontId="6" fillId="0" borderId="9" xfId="1" applyNumberFormat="1" applyFont="1" applyFill="1" applyBorder="1" applyAlignment="1">
      <alignment horizontal="center" vertical="center" wrapText="1"/>
    </xf>
    <xf numFmtId="0" fontId="11" fillId="12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5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7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75"/>
        </patternFill>
      </fill>
    </dxf>
    <dxf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numFmt numFmtId="19" formatCode="dd/mm/yyyy"/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</dxf>
  </dxfs>
  <tableStyles count="1" defaultTableStyle="TableStyleMedium2" defaultPivotStyle="PivotStyleLight16">
    <tableStyle name="Table Style 1" pivot="0" count="1" xr9:uid="{4B4933F7-1819-45C2-BA83-A1739FFE555E}">
      <tableStyleElement type="wholeTable" dxfId="51"/>
    </tableStyle>
  </tableStyles>
  <colors>
    <mruColors>
      <color rgb="FFFFFF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/>
              <a:t>PERFORMANCE</a:t>
            </a:r>
            <a:r>
              <a:rPr lang="en-IN" b="1" i="1" baseline="0"/>
              <a:t> ANALYTICS</a:t>
            </a:r>
            <a:endParaRPr lang="en-IN" b="1" i="1"/>
          </a:p>
        </c:rich>
      </c:tx>
      <c:layout>
        <c:manualLayout>
          <c:xMode val="edge"/>
          <c:yMode val="edge"/>
          <c:x val="0.4318333447090781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2.7379262680579202E-2"/>
          <c:y val="0.20128460089918002"/>
          <c:w val="0.96062924415324935"/>
          <c:h val="0.63958866249687962"/>
        </c:manualLayout>
      </c:layout>
      <c:lineChart>
        <c:grouping val="standard"/>
        <c:varyColors val="0"/>
        <c:ser>
          <c:idx val="0"/>
          <c:order val="0"/>
          <c:tx>
            <c:v>TASK COMPLETION 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MAY!$C$9:$AG$9</c:f>
              <c:numCache>
                <c:formatCode>0%</c:formatCode>
                <c:ptCount val="31"/>
                <c:pt idx="0">
                  <c:v>0.15</c:v>
                </c:pt>
                <c:pt idx="1">
                  <c:v>0.05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0.05</c:v>
                </c:pt>
                <c:pt idx="6">
                  <c:v>0.25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0.6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0.25</c:v>
                </c:pt>
                <c:pt idx="17">
                  <c:v>0.15</c:v>
                </c:pt>
                <c:pt idx="18">
                  <c:v>0.2</c:v>
                </c:pt>
                <c:pt idx="19">
                  <c:v>0.15</c:v>
                </c:pt>
                <c:pt idx="20">
                  <c:v>0.5</c:v>
                </c:pt>
                <c:pt idx="21">
                  <c:v>0.45</c:v>
                </c:pt>
                <c:pt idx="22">
                  <c:v>0.3</c:v>
                </c:pt>
                <c:pt idx="23">
                  <c:v>0.05</c:v>
                </c:pt>
                <c:pt idx="24">
                  <c:v>0.35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0.3</c:v>
                </c:pt>
                <c:pt idx="29">
                  <c:v>0.05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4-4199-9BB3-73E0F4B677A3}"/>
            </c:ext>
          </c:extLst>
        </c:ser>
        <c:ser>
          <c:idx val="1"/>
          <c:order val="1"/>
          <c:tx>
            <c:v>PRODUCTIVITY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MAY!$C$10:$AG$10</c:f>
              <c:numCache>
                <c:formatCode>0%</c:formatCode>
                <c:ptCount val="31"/>
                <c:pt idx="0">
                  <c:v>0.1</c:v>
                </c:pt>
                <c:pt idx="1">
                  <c:v>0.1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</c:v>
                </c:pt>
                <c:pt idx="6">
                  <c:v>0.4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0.7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0.1</c:v>
                </c:pt>
                <c:pt idx="24">
                  <c:v>0.4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4-4199-9BB3-73E0F4B677A3}"/>
            </c:ext>
          </c:extLst>
        </c:ser>
        <c:ser>
          <c:idx val="2"/>
          <c:order val="2"/>
          <c:tx>
            <c:v>FITNESS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MAY!$C$11:$AG$11</c:f>
              <c:numCache>
                <c:formatCode>0%</c:formatCode>
                <c:ptCount val="31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0.3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0.5</c:v>
                </c:pt>
                <c:pt idx="17">
                  <c:v>0.3</c:v>
                </c:pt>
                <c:pt idx="18">
                  <c:v>0.4</c:v>
                </c:pt>
                <c:pt idx="19">
                  <c:v>0.3</c:v>
                </c:pt>
                <c:pt idx="20">
                  <c:v>0.6</c:v>
                </c:pt>
                <c:pt idx="21">
                  <c:v>0.5</c:v>
                </c:pt>
                <c:pt idx="22">
                  <c:v>0.2</c:v>
                </c:pt>
                <c:pt idx="23">
                  <c:v>0</c:v>
                </c:pt>
                <c:pt idx="24">
                  <c:v>0.4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4-4199-9BB3-73E0F4B67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315343"/>
        <c:axId val="271324463"/>
      </c:lineChart>
      <c:catAx>
        <c:axId val="271315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24463"/>
        <c:crosses val="autoZero"/>
        <c:auto val="1"/>
        <c:lblAlgn val="ctr"/>
        <c:lblOffset val="100"/>
        <c:noMultiLvlLbl val="0"/>
      </c:catAx>
      <c:valAx>
        <c:axId val="2713244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15343"/>
        <c:crosses val="autoZero"/>
        <c:crossBetween val="between"/>
        <c:majorUnit val="0.2"/>
        <c:minorUnit val="0.2"/>
      </c:valAx>
      <c:spPr>
        <a:solidFill>
          <a:schemeClr val="accent2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129825475104094"/>
          <c:y val="8.2219561779539076E-3"/>
          <c:w val="0.31010677067789"/>
          <c:h val="0.192302954081169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711632</xdr:colOff>
      <xdr:row>0</xdr:row>
      <xdr:rowOff>1</xdr:rowOff>
    </xdr:from>
    <xdr:to>
      <xdr:col>33</xdr:col>
      <xdr:colOff>47037</xdr:colOff>
      <xdr:row>5</xdr:row>
      <xdr:rowOff>174710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23ED965-993C-482A-9371-33BB270EE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33</xdr:col>
      <xdr:colOff>326571</xdr:colOff>
      <xdr:row>2</xdr:row>
      <xdr:rowOff>54429</xdr:rowOff>
    </xdr:from>
    <xdr:ext cx="489858" cy="598714"/>
    <xdr:pic>
      <xdr:nvPicPr>
        <xdr:cNvPr id="9" name="image1.png" title="Image">
          <a:extLst>
            <a:ext uri="{FF2B5EF4-FFF2-40B4-BE49-F238E27FC236}">
              <a16:creationId xmlns:a16="http://schemas.microsoft.com/office/drawing/2014/main" id="{AF65371B-FF97-4ED4-8A8E-F112D519F11D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725571" y="417286"/>
          <a:ext cx="489858" cy="598714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35</xdr:col>
      <xdr:colOff>136072</xdr:colOff>
      <xdr:row>2</xdr:row>
      <xdr:rowOff>72572</xdr:rowOff>
    </xdr:from>
    <xdr:to>
      <xdr:col>35</xdr:col>
      <xdr:colOff>743858</xdr:colOff>
      <xdr:row>5</xdr:row>
      <xdr:rowOff>136072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F05FA38-4AE9-9AAA-DFC9-9D929CE7A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9939000" y="435429"/>
          <a:ext cx="607786" cy="607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C8DA1-748C-42C6-8CB3-2C8672FC71D6}">
  <sheetPr codeName="Sheet1"/>
  <dimension ref="A1:AX62"/>
  <sheetViews>
    <sheetView tabSelected="1" zoomScale="58" workbookViewId="0">
      <selection activeCell="AG27" sqref="AG27"/>
    </sheetView>
  </sheetViews>
  <sheetFormatPr defaultRowHeight="14.6" x14ac:dyDescent="0.4"/>
  <cols>
    <col min="1" max="1" width="27.53515625" bestFit="1" customWidth="1"/>
    <col min="2" max="2" width="10.07421875" style="1" bestFit="1" customWidth="1"/>
    <col min="3" max="8" width="6.69140625" style="1" customWidth="1"/>
    <col min="9" max="9" width="8.23046875" style="1" customWidth="1"/>
    <col min="10" max="33" width="6.69140625" style="1" customWidth="1"/>
    <col min="34" max="34" width="17.3046875" style="1" customWidth="1"/>
    <col min="35" max="35" width="16.69140625" style="1" customWidth="1"/>
    <col min="36" max="36" width="14.61328125" style="1" customWidth="1"/>
    <col min="37" max="37" width="13.3046875" customWidth="1"/>
  </cols>
  <sheetData>
    <row r="1" spans="1:50" ht="14.6" customHeight="1" x14ac:dyDescent="0.4">
      <c r="A1" s="18" t="str">
        <f ca="1">IF(AND(HOUR(NOW())&gt;4,HOUR(NOW())&lt;12),"Good Morning Rakesh",
IF(AND(HOUR(NOW())&gt;=12,HOUR(NOW())&lt;16),"Good Afternoon Rakesh",
IF(AND(HOUR(NOW())&gt;=16,HOUR(NOW())&lt;19),"Good Evening Rakesh",
"Good Night Rakesh")))</f>
        <v>Good Morning Rakesh</v>
      </c>
      <c r="AH1" s="23" t="s">
        <v>32</v>
      </c>
      <c r="AI1" s="23"/>
      <c r="AJ1" s="26" t="s">
        <v>33</v>
      </c>
      <c r="AK1" s="27"/>
    </row>
    <row r="2" spans="1:50" x14ac:dyDescent="0.4">
      <c r="A2" s="18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 s="23"/>
      <c r="AI2" s="23"/>
      <c r="AJ2" s="27"/>
      <c r="AK2" s="27"/>
    </row>
    <row r="3" spans="1:50" x14ac:dyDescent="0.4">
      <c r="A3" s="18"/>
      <c r="AH3" s="24"/>
      <c r="AI3" s="25">
        <f>COUNTIF(C8:AG8,"&gt;=1")</f>
        <v>28</v>
      </c>
      <c r="AJ3" s="24"/>
      <c r="AK3" s="28">
        <f>COUNTIF(C8:AG8,"=20")</f>
        <v>0</v>
      </c>
    </row>
    <row r="4" spans="1:50" x14ac:dyDescent="0.4">
      <c r="A4" s="18"/>
      <c r="AH4" s="24"/>
      <c r="AI4" s="25"/>
      <c r="AJ4" s="24"/>
      <c r="AK4" s="28"/>
    </row>
    <row r="5" spans="1:50" x14ac:dyDescent="0.4">
      <c r="A5" s="18"/>
      <c r="AH5" s="24"/>
      <c r="AI5" s="25"/>
      <c r="AJ5" s="24"/>
      <c r="AK5" s="28"/>
    </row>
    <row r="6" spans="1:50" ht="15" thickBot="1" x14ac:dyDescent="0.45">
      <c r="A6" s="18"/>
      <c r="AH6" s="24"/>
      <c r="AI6" s="25"/>
      <c r="AJ6" s="24"/>
      <c r="AK6" s="28"/>
    </row>
    <row r="7" spans="1:50" ht="16.75" thickTop="1" thickBot="1" x14ac:dyDescent="0.5">
      <c r="A7" s="12" t="s">
        <v>0</v>
      </c>
      <c r="C7" s="31">
        <f>COUNTA($A$17:$A$36)</f>
        <v>20</v>
      </c>
      <c r="D7" s="32">
        <f t="shared" ref="D7:AG7" si="0">COUNTA($A$17:$A$36)</f>
        <v>20</v>
      </c>
      <c r="E7" s="32">
        <f t="shared" si="0"/>
        <v>20</v>
      </c>
      <c r="F7" s="32">
        <f t="shared" si="0"/>
        <v>20</v>
      </c>
      <c r="G7" s="32">
        <f t="shared" si="0"/>
        <v>20</v>
      </c>
      <c r="H7" s="32">
        <f t="shared" si="0"/>
        <v>20</v>
      </c>
      <c r="I7" s="32">
        <f t="shared" si="0"/>
        <v>20</v>
      </c>
      <c r="J7" s="32">
        <f t="shared" si="0"/>
        <v>20</v>
      </c>
      <c r="K7" s="32">
        <f t="shared" si="0"/>
        <v>20</v>
      </c>
      <c r="L7" s="32">
        <f t="shared" si="0"/>
        <v>20</v>
      </c>
      <c r="M7" s="32">
        <f t="shared" si="0"/>
        <v>20</v>
      </c>
      <c r="N7" s="32">
        <f t="shared" si="0"/>
        <v>20</v>
      </c>
      <c r="O7" s="32">
        <f t="shared" si="0"/>
        <v>20</v>
      </c>
      <c r="P7" s="32">
        <f t="shared" si="0"/>
        <v>20</v>
      </c>
      <c r="Q7" s="32">
        <f t="shared" si="0"/>
        <v>20</v>
      </c>
      <c r="R7" s="32">
        <f t="shared" si="0"/>
        <v>20</v>
      </c>
      <c r="S7" s="32">
        <f t="shared" si="0"/>
        <v>20</v>
      </c>
      <c r="T7" s="32">
        <f t="shared" si="0"/>
        <v>20</v>
      </c>
      <c r="U7" s="32">
        <f t="shared" si="0"/>
        <v>20</v>
      </c>
      <c r="V7" s="32">
        <f t="shared" si="0"/>
        <v>20</v>
      </c>
      <c r="W7" s="32">
        <f t="shared" si="0"/>
        <v>20</v>
      </c>
      <c r="X7" s="32">
        <f t="shared" si="0"/>
        <v>20</v>
      </c>
      <c r="Y7" s="32">
        <f t="shared" si="0"/>
        <v>20</v>
      </c>
      <c r="Z7" s="32">
        <f t="shared" si="0"/>
        <v>20</v>
      </c>
      <c r="AA7" s="32">
        <f t="shared" si="0"/>
        <v>20</v>
      </c>
      <c r="AB7" s="32">
        <f t="shared" si="0"/>
        <v>20</v>
      </c>
      <c r="AC7" s="32">
        <f t="shared" si="0"/>
        <v>20</v>
      </c>
      <c r="AD7" s="32">
        <f t="shared" si="0"/>
        <v>20</v>
      </c>
      <c r="AE7" s="32">
        <f t="shared" si="0"/>
        <v>20</v>
      </c>
      <c r="AF7" s="32">
        <f t="shared" si="0"/>
        <v>20</v>
      </c>
      <c r="AG7" s="33">
        <f t="shared" si="0"/>
        <v>20</v>
      </c>
      <c r="AH7" s="17" t="s">
        <v>34</v>
      </c>
      <c r="AI7" s="17" t="s">
        <v>35</v>
      </c>
    </row>
    <row r="8" spans="1:50" ht="16.3" thickBot="1" x14ac:dyDescent="0.5">
      <c r="A8" s="12" t="s">
        <v>1</v>
      </c>
      <c r="C8" s="34">
        <f>COUNTIF(C17:C36,TRUE)</f>
        <v>3</v>
      </c>
      <c r="D8" s="35">
        <f t="shared" ref="D8:AG8" si="1">COUNTIF(D17:D36,TRUE)</f>
        <v>1</v>
      </c>
      <c r="E8" s="35">
        <f t="shared" si="1"/>
        <v>0</v>
      </c>
      <c r="F8" s="35">
        <f t="shared" si="1"/>
        <v>0</v>
      </c>
      <c r="G8" s="35">
        <f t="shared" si="1"/>
        <v>3</v>
      </c>
      <c r="H8" s="35">
        <f t="shared" si="1"/>
        <v>1</v>
      </c>
      <c r="I8" s="35">
        <f t="shared" si="1"/>
        <v>5</v>
      </c>
      <c r="J8" s="35">
        <f t="shared" si="1"/>
        <v>1</v>
      </c>
      <c r="K8" s="35">
        <f t="shared" si="1"/>
        <v>1</v>
      </c>
      <c r="L8" s="35">
        <f t="shared" si="1"/>
        <v>1</v>
      </c>
      <c r="M8" s="35">
        <f t="shared" si="1"/>
        <v>12</v>
      </c>
      <c r="N8" s="35">
        <f t="shared" si="1"/>
        <v>4</v>
      </c>
      <c r="O8" s="35">
        <f t="shared" si="1"/>
        <v>4</v>
      </c>
      <c r="P8" s="35">
        <f t="shared" si="1"/>
        <v>4</v>
      </c>
      <c r="Q8" s="35">
        <f t="shared" si="1"/>
        <v>4</v>
      </c>
      <c r="R8" s="35">
        <f t="shared" si="1"/>
        <v>4</v>
      </c>
      <c r="S8" s="35">
        <f t="shared" si="1"/>
        <v>5</v>
      </c>
      <c r="T8" s="35">
        <f t="shared" si="1"/>
        <v>3</v>
      </c>
      <c r="U8" s="35">
        <f t="shared" si="1"/>
        <v>4</v>
      </c>
      <c r="V8" s="35">
        <f t="shared" si="1"/>
        <v>3</v>
      </c>
      <c r="W8" s="35">
        <f t="shared" si="1"/>
        <v>10</v>
      </c>
      <c r="X8" s="35">
        <f t="shared" si="1"/>
        <v>9</v>
      </c>
      <c r="Y8" s="35">
        <f t="shared" si="1"/>
        <v>6</v>
      </c>
      <c r="Z8" s="35">
        <f t="shared" si="1"/>
        <v>1</v>
      </c>
      <c r="AA8" s="35">
        <f t="shared" si="1"/>
        <v>7</v>
      </c>
      <c r="AB8" s="35">
        <f t="shared" si="1"/>
        <v>1</v>
      </c>
      <c r="AC8" s="35">
        <f t="shared" si="1"/>
        <v>1</v>
      </c>
      <c r="AD8" s="35">
        <f t="shared" si="1"/>
        <v>1</v>
      </c>
      <c r="AE8" s="35">
        <f t="shared" si="1"/>
        <v>6</v>
      </c>
      <c r="AF8" s="35">
        <f t="shared" si="1"/>
        <v>1</v>
      </c>
      <c r="AG8" s="36">
        <f t="shared" si="1"/>
        <v>0</v>
      </c>
      <c r="AH8" s="17">
        <f>SUM(C8:AG8)</f>
        <v>106</v>
      </c>
    </row>
    <row r="9" spans="1:50" ht="16.3" thickBot="1" x14ac:dyDescent="0.5">
      <c r="A9" s="13" t="s">
        <v>2</v>
      </c>
      <c r="C9" s="37">
        <f>C8/C7</f>
        <v>0.15</v>
      </c>
      <c r="D9" s="38">
        <f t="shared" ref="D9:AG9" si="2">D8/D7</f>
        <v>0.05</v>
      </c>
      <c r="E9" s="38">
        <f t="shared" si="2"/>
        <v>0</v>
      </c>
      <c r="F9" s="38">
        <f t="shared" si="2"/>
        <v>0</v>
      </c>
      <c r="G9" s="38">
        <f t="shared" si="2"/>
        <v>0.15</v>
      </c>
      <c r="H9" s="38">
        <f t="shared" si="2"/>
        <v>0.05</v>
      </c>
      <c r="I9" s="38">
        <f t="shared" si="2"/>
        <v>0.25</v>
      </c>
      <c r="J9" s="38">
        <f t="shared" si="2"/>
        <v>0.05</v>
      </c>
      <c r="K9" s="38">
        <f t="shared" si="2"/>
        <v>0.05</v>
      </c>
      <c r="L9" s="38">
        <f t="shared" si="2"/>
        <v>0.05</v>
      </c>
      <c r="M9" s="38">
        <f t="shared" si="2"/>
        <v>0.6</v>
      </c>
      <c r="N9" s="38">
        <f t="shared" si="2"/>
        <v>0.2</v>
      </c>
      <c r="O9" s="38">
        <f t="shared" si="2"/>
        <v>0.2</v>
      </c>
      <c r="P9" s="38">
        <f t="shared" si="2"/>
        <v>0.2</v>
      </c>
      <c r="Q9" s="38">
        <f t="shared" si="2"/>
        <v>0.2</v>
      </c>
      <c r="R9" s="38">
        <f t="shared" si="2"/>
        <v>0.2</v>
      </c>
      <c r="S9" s="38">
        <f t="shared" si="2"/>
        <v>0.25</v>
      </c>
      <c r="T9" s="38">
        <f t="shared" si="2"/>
        <v>0.15</v>
      </c>
      <c r="U9" s="38">
        <f t="shared" si="2"/>
        <v>0.2</v>
      </c>
      <c r="V9" s="38">
        <f t="shared" si="2"/>
        <v>0.15</v>
      </c>
      <c r="W9" s="38">
        <f t="shared" si="2"/>
        <v>0.5</v>
      </c>
      <c r="X9" s="38">
        <f t="shared" si="2"/>
        <v>0.45</v>
      </c>
      <c r="Y9" s="38">
        <f t="shared" si="2"/>
        <v>0.3</v>
      </c>
      <c r="Z9" s="38">
        <f t="shared" si="2"/>
        <v>0.05</v>
      </c>
      <c r="AA9" s="38">
        <f t="shared" si="2"/>
        <v>0.35</v>
      </c>
      <c r="AB9" s="38">
        <f t="shared" si="2"/>
        <v>0.05</v>
      </c>
      <c r="AC9" s="38">
        <f t="shared" si="2"/>
        <v>0.05</v>
      </c>
      <c r="AD9" s="38">
        <f t="shared" si="2"/>
        <v>0.05</v>
      </c>
      <c r="AE9" s="38">
        <f t="shared" si="2"/>
        <v>0.3</v>
      </c>
      <c r="AF9" s="38">
        <f t="shared" si="2"/>
        <v>0.05</v>
      </c>
      <c r="AG9" s="39">
        <f t="shared" si="2"/>
        <v>0</v>
      </c>
      <c r="AH9" s="48">
        <f>AVERAGE(C9:AG9)</f>
        <v>0.17096774193548381</v>
      </c>
    </row>
    <row r="10" spans="1:50" ht="16.3" thickBot="1" x14ac:dyDescent="0.5">
      <c r="A10" s="14" t="s">
        <v>5</v>
      </c>
      <c r="C10" s="37">
        <f>(COUNTIF(C27:C30,TRUE)+COUNTIF(C22:C25,TRUE)+COUNTIF(C33,TRUE)+COUNTIF(C35,TRUE))/10</f>
        <v>0.1</v>
      </c>
      <c r="D10" s="38">
        <f t="shared" ref="D10:AG10" si="3">(COUNTIF(D27:D30,TRUE)+COUNTIF(D22:D25,TRUE)+COUNTIF(D33,TRUE)+COUNTIF(D35,TRUE))/10</f>
        <v>0.1</v>
      </c>
      <c r="E10" s="38">
        <f t="shared" si="3"/>
        <v>0</v>
      </c>
      <c r="F10" s="38">
        <f t="shared" si="3"/>
        <v>0</v>
      </c>
      <c r="G10" s="38">
        <f t="shared" si="3"/>
        <v>0.2</v>
      </c>
      <c r="H10" s="38">
        <f t="shared" si="3"/>
        <v>0.1</v>
      </c>
      <c r="I10" s="38">
        <f>(COUNTIF(I27:I30,TRUE)+COUNTIF(I22:I25,TRUE)+COUNTIF(I33,TRUE)+COUNTIF(I35,TRUE))/10</f>
        <v>0.4</v>
      </c>
      <c r="J10" s="38">
        <f t="shared" si="3"/>
        <v>0.1</v>
      </c>
      <c r="K10" s="38">
        <f t="shared" si="3"/>
        <v>0.1</v>
      </c>
      <c r="L10" s="38">
        <f t="shared" si="3"/>
        <v>0.1</v>
      </c>
      <c r="M10" s="38">
        <f t="shared" si="3"/>
        <v>0.7</v>
      </c>
      <c r="N10" s="38">
        <f t="shared" si="3"/>
        <v>0.1</v>
      </c>
      <c r="O10" s="38">
        <f t="shared" si="3"/>
        <v>0</v>
      </c>
      <c r="P10" s="38">
        <f t="shared" si="3"/>
        <v>0</v>
      </c>
      <c r="Q10" s="38">
        <f t="shared" si="3"/>
        <v>0</v>
      </c>
      <c r="R10" s="38">
        <f t="shared" si="3"/>
        <v>0</v>
      </c>
      <c r="S10" s="38">
        <f t="shared" si="3"/>
        <v>0</v>
      </c>
      <c r="T10" s="38">
        <f t="shared" si="3"/>
        <v>0</v>
      </c>
      <c r="U10" s="38">
        <f t="shared" si="3"/>
        <v>0</v>
      </c>
      <c r="V10" s="38">
        <f t="shared" si="3"/>
        <v>0</v>
      </c>
      <c r="W10" s="38">
        <f t="shared" si="3"/>
        <v>0.4</v>
      </c>
      <c r="X10" s="38">
        <f t="shared" si="3"/>
        <v>0.4</v>
      </c>
      <c r="Y10" s="38">
        <f t="shared" si="3"/>
        <v>0.4</v>
      </c>
      <c r="Z10" s="38">
        <f t="shared" si="3"/>
        <v>0.1</v>
      </c>
      <c r="AA10" s="38">
        <f>(COUNTIF(AA27:AA30,TRUE)+COUNTIF(AA22:AA25,TRUE)+COUNTIF(AA33,TRUE)+COUNTIF(AF35,TRUE))/10</f>
        <v>0.4</v>
      </c>
      <c r="AB10" s="38">
        <f t="shared" si="3"/>
        <v>0.1</v>
      </c>
      <c r="AC10" s="38">
        <f t="shared" si="3"/>
        <v>0.1</v>
      </c>
      <c r="AD10" s="38">
        <f t="shared" si="3"/>
        <v>0.1</v>
      </c>
      <c r="AE10" s="38">
        <f t="shared" si="3"/>
        <v>0.5</v>
      </c>
      <c r="AF10" s="38" t="e">
        <f>(COUNTIF(AF27:AF30,TRUE)+COUNTIF(AF22:AF25,TRUE)+COUNTIF(AF33,TRUE)+COUNTIF(#REF!,TRUE))/10</f>
        <v>#REF!</v>
      </c>
      <c r="AG10" s="39">
        <f t="shared" si="3"/>
        <v>0</v>
      </c>
      <c r="AH10" s="48" t="e">
        <f t="shared" ref="AH10:AH11" si="4">AVERAGE(C10:AG10)</f>
        <v>#REF!</v>
      </c>
    </row>
    <row r="11" spans="1:50" ht="16.3" thickBot="1" x14ac:dyDescent="0.5">
      <c r="A11" s="15" t="s">
        <v>6</v>
      </c>
      <c r="C11" s="40">
        <f t="shared" ref="C11:H11" si="5">(COUNTIF(C17:C21,TRUE)+COUNTIF(C26,TRUE)+COUNTIF(C31:C32,TRUE)+COUNTIF(C34,TRUE)+COUNTIF(C36,TRUE))/10</f>
        <v>0.2</v>
      </c>
      <c r="D11" s="41">
        <f t="shared" si="5"/>
        <v>0</v>
      </c>
      <c r="E11" s="41">
        <f t="shared" si="5"/>
        <v>0</v>
      </c>
      <c r="F11" s="41">
        <f t="shared" si="5"/>
        <v>0</v>
      </c>
      <c r="G11" s="41">
        <f t="shared" si="5"/>
        <v>0.1</v>
      </c>
      <c r="H11" s="41">
        <f t="shared" si="5"/>
        <v>0</v>
      </c>
      <c r="I11" s="41">
        <f>(COUNTIF(I17:I21,TRUE)+COUNTIF(I26,TRUE)+COUNTIF(I31:I32,TRUE)+COUNTIF(I34,TRUE)+COUNTIF(I36,TRUE))/10</f>
        <v>0.1</v>
      </c>
      <c r="J11" s="41">
        <f t="shared" ref="J11:AG11" si="6">(COUNTIF(J17:J21,TRUE)+COUNTIF(J26,TRUE)+COUNTIF(J31:J32,TRUE)+COUNTIF(J34,TRUE)+COUNTIF(J36,TRUE))/10</f>
        <v>0</v>
      </c>
      <c r="K11" s="41">
        <f t="shared" si="6"/>
        <v>0</v>
      </c>
      <c r="L11" s="41">
        <f t="shared" si="6"/>
        <v>0</v>
      </c>
      <c r="M11" s="41">
        <f t="shared" si="6"/>
        <v>0.5</v>
      </c>
      <c r="N11" s="41">
        <f t="shared" si="6"/>
        <v>0.3</v>
      </c>
      <c r="O11" s="41">
        <f t="shared" si="6"/>
        <v>0.4</v>
      </c>
      <c r="P11" s="41">
        <f t="shared" si="6"/>
        <v>0.4</v>
      </c>
      <c r="Q11" s="41">
        <f t="shared" si="6"/>
        <v>0.4</v>
      </c>
      <c r="R11" s="41">
        <f t="shared" si="6"/>
        <v>0.4</v>
      </c>
      <c r="S11" s="41">
        <f t="shared" si="6"/>
        <v>0.5</v>
      </c>
      <c r="T11" s="41">
        <f t="shared" si="6"/>
        <v>0.3</v>
      </c>
      <c r="U11" s="41">
        <f t="shared" si="6"/>
        <v>0.4</v>
      </c>
      <c r="V11" s="41">
        <f t="shared" si="6"/>
        <v>0.3</v>
      </c>
      <c r="W11" s="41">
        <f t="shared" si="6"/>
        <v>0.6</v>
      </c>
      <c r="X11" s="41">
        <f t="shared" si="6"/>
        <v>0.5</v>
      </c>
      <c r="Y11" s="41">
        <f t="shared" si="6"/>
        <v>0.2</v>
      </c>
      <c r="Z11" s="41">
        <f t="shared" si="6"/>
        <v>0</v>
      </c>
      <c r="AA11" s="41">
        <f t="shared" si="6"/>
        <v>0.4</v>
      </c>
      <c r="AB11" s="41">
        <f t="shared" si="6"/>
        <v>0</v>
      </c>
      <c r="AC11" s="41">
        <f t="shared" si="6"/>
        <v>0</v>
      </c>
      <c r="AD11" s="41">
        <f t="shared" si="6"/>
        <v>0</v>
      </c>
      <c r="AE11" s="41">
        <f t="shared" si="6"/>
        <v>0.1</v>
      </c>
      <c r="AF11" s="41">
        <f t="shared" si="6"/>
        <v>0</v>
      </c>
      <c r="AG11" s="42">
        <f t="shared" si="6"/>
        <v>0</v>
      </c>
      <c r="AH11" s="48">
        <f t="shared" si="4"/>
        <v>0.19677419354838707</v>
      </c>
    </row>
    <row r="12" spans="1:50" x14ac:dyDescent="0.4">
      <c r="A12" s="51" t="s">
        <v>38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</row>
    <row r="13" spans="1:50" x14ac:dyDescent="0.4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</row>
    <row r="14" spans="1:50" ht="15" thickBot="1" x14ac:dyDescent="0.4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</row>
    <row r="15" spans="1:50" ht="15.9" customHeight="1" thickTop="1" thickBot="1" x14ac:dyDescent="0.5">
      <c r="A15" s="9" t="s">
        <v>3</v>
      </c>
      <c r="C15" s="19" t="s">
        <v>27</v>
      </c>
      <c r="D15" s="19"/>
      <c r="E15" s="19"/>
      <c r="F15" s="19"/>
      <c r="G15" s="19"/>
      <c r="H15" s="19"/>
      <c r="I15" s="19"/>
      <c r="J15" s="19" t="s">
        <v>28</v>
      </c>
      <c r="K15" s="19"/>
      <c r="L15" s="19"/>
      <c r="M15" s="19"/>
      <c r="N15" s="19"/>
      <c r="O15" s="19"/>
      <c r="P15" s="19"/>
      <c r="Q15" s="19" t="s">
        <v>29</v>
      </c>
      <c r="R15" s="19"/>
      <c r="S15" s="19"/>
      <c r="T15" s="19"/>
      <c r="U15" s="19"/>
      <c r="V15" s="19"/>
      <c r="W15" s="19"/>
      <c r="X15" s="20" t="s">
        <v>30</v>
      </c>
      <c r="Y15" s="21"/>
      <c r="Z15" s="21"/>
      <c r="AA15" s="21"/>
      <c r="AB15" s="21"/>
      <c r="AC15" s="21"/>
      <c r="AD15" s="22"/>
      <c r="AE15" s="20" t="s">
        <v>31</v>
      </c>
      <c r="AF15" s="21"/>
      <c r="AG15" s="21"/>
      <c r="AH15" s="46" t="s">
        <v>36</v>
      </c>
      <c r="AI15" s="46" t="s">
        <v>37</v>
      </c>
      <c r="AJ15" s="16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50" ht="15.9" thickTop="1" thickBot="1" x14ac:dyDescent="0.5">
      <c r="A16" s="9" t="s">
        <v>4</v>
      </c>
      <c r="C16" s="30">
        <f t="shared" ref="C16:AG16" si="7">DAY(B62)</f>
        <v>1</v>
      </c>
      <c r="D16" s="29">
        <f t="shared" si="7"/>
        <v>2</v>
      </c>
      <c r="E16" s="29">
        <f t="shared" si="7"/>
        <v>3</v>
      </c>
      <c r="F16" s="29">
        <f t="shared" si="7"/>
        <v>4</v>
      </c>
      <c r="G16" s="29">
        <f t="shared" si="7"/>
        <v>5</v>
      </c>
      <c r="H16" s="29">
        <f t="shared" si="7"/>
        <v>6</v>
      </c>
      <c r="I16" s="29">
        <f t="shared" si="7"/>
        <v>7</v>
      </c>
      <c r="J16" s="29">
        <f t="shared" si="7"/>
        <v>8</v>
      </c>
      <c r="K16" s="29">
        <f t="shared" si="7"/>
        <v>9</v>
      </c>
      <c r="L16" s="29">
        <f t="shared" si="7"/>
        <v>10</v>
      </c>
      <c r="M16" s="29">
        <f t="shared" si="7"/>
        <v>11</v>
      </c>
      <c r="N16" s="29">
        <f t="shared" si="7"/>
        <v>12</v>
      </c>
      <c r="O16" s="29">
        <f t="shared" si="7"/>
        <v>13</v>
      </c>
      <c r="P16" s="29">
        <f t="shared" si="7"/>
        <v>14</v>
      </c>
      <c r="Q16" s="29">
        <f t="shared" si="7"/>
        <v>15</v>
      </c>
      <c r="R16" s="29">
        <f t="shared" si="7"/>
        <v>16</v>
      </c>
      <c r="S16" s="29">
        <f t="shared" si="7"/>
        <v>17</v>
      </c>
      <c r="T16" s="29">
        <f t="shared" si="7"/>
        <v>18</v>
      </c>
      <c r="U16" s="29">
        <f t="shared" si="7"/>
        <v>19</v>
      </c>
      <c r="V16" s="29">
        <f t="shared" si="7"/>
        <v>20</v>
      </c>
      <c r="W16" s="29">
        <f t="shared" si="7"/>
        <v>21</v>
      </c>
      <c r="X16" s="29">
        <f t="shared" si="7"/>
        <v>22</v>
      </c>
      <c r="Y16" s="29">
        <f t="shared" si="7"/>
        <v>23</v>
      </c>
      <c r="Z16" s="29">
        <f t="shared" si="7"/>
        <v>24</v>
      </c>
      <c r="AA16" s="29">
        <f t="shared" si="7"/>
        <v>25</v>
      </c>
      <c r="AB16" s="29">
        <f t="shared" si="7"/>
        <v>26</v>
      </c>
      <c r="AC16" s="29">
        <f t="shared" si="7"/>
        <v>27</v>
      </c>
      <c r="AD16" s="29">
        <f t="shared" si="7"/>
        <v>28</v>
      </c>
      <c r="AE16" s="29">
        <f t="shared" si="7"/>
        <v>29</v>
      </c>
      <c r="AF16" s="29">
        <f t="shared" si="7"/>
        <v>30</v>
      </c>
      <c r="AG16" s="43">
        <f t="shared" si="7"/>
        <v>31</v>
      </c>
      <c r="AH16" s="46"/>
      <c r="AI16" s="47"/>
    </row>
    <row r="17" spans="1:35" ht="16.3" thickBot="1" x14ac:dyDescent="0.5">
      <c r="A17" s="10" t="s">
        <v>8</v>
      </c>
      <c r="C17" s="4"/>
      <c r="D17" s="5"/>
      <c r="E17" s="5"/>
      <c r="F17" s="5"/>
      <c r="G17" s="5"/>
      <c r="H17" s="5"/>
      <c r="I17" s="5"/>
      <c r="J17" s="5"/>
      <c r="K17" s="5"/>
      <c r="L17" s="5"/>
      <c r="M17" s="5" t="b">
        <v>1</v>
      </c>
      <c r="N17" s="5" t="b">
        <v>1</v>
      </c>
      <c r="O17" s="5" t="b">
        <v>1</v>
      </c>
      <c r="P17" s="5" t="b">
        <v>1</v>
      </c>
      <c r="Q17" s="5" t="b">
        <v>1</v>
      </c>
      <c r="R17" s="5" t="b">
        <v>1</v>
      </c>
      <c r="S17" s="5" t="b">
        <v>1</v>
      </c>
      <c r="T17" s="5" t="b">
        <v>1</v>
      </c>
      <c r="U17" s="5" t="b">
        <v>1</v>
      </c>
      <c r="V17" s="5"/>
      <c r="W17" s="5" t="b">
        <v>1</v>
      </c>
      <c r="X17" s="5" t="b">
        <v>1</v>
      </c>
      <c r="Y17" s="5"/>
      <c r="Z17" s="5"/>
      <c r="AA17" s="5"/>
      <c r="AB17" s="5"/>
      <c r="AC17" s="5"/>
      <c r="AD17" s="5"/>
      <c r="AE17" s="5"/>
      <c r="AF17" s="5"/>
      <c r="AG17" s="44"/>
      <c r="AH17" s="49" cm="1">
        <f t="array" ref="AH17">MAX(FREQUENCY(IF(C17:AG17=TRUE, COLUMN(C17:AG17)), IF(C17:AG17&lt;&gt;TRUE, COLUMN(C17:AG17))))</f>
        <v>9</v>
      </c>
      <c r="AI17" s="50">
        <f ca="1">(COUNTIF(C17:AG17,TRUE))/DAY(EOMONTH(TODAY(),0))</f>
        <v>0.35483870967741937</v>
      </c>
    </row>
    <row r="18" spans="1:35" ht="16.3" thickBot="1" x14ac:dyDescent="0.5">
      <c r="A18" s="10" t="s">
        <v>9</v>
      </c>
      <c r="C18" s="4" t="b">
        <v>1</v>
      </c>
      <c r="D18" s="5"/>
      <c r="E18" s="6"/>
      <c r="F18" s="5"/>
      <c r="G18" s="5"/>
      <c r="H18" s="5"/>
      <c r="I18" s="5"/>
      <c r="J18" s="5"/>
      <c r="K18" s="5"/>
      <c r="L18" s="5"/>
      <c r="M18" s="5" t="b">
        <v>1</v>
      </c>
      <c r="N18" s="5" t="b">
        <v>1</v>
      </c>
      <c r="O18" s="5" t="b">
        <v>1</v>
      </c>
      <c r="P18" s="5" t="b">
        <v>1</v>
      </c>
      <c r="Q18" s="5" t="b">
        <v>1</v>
      </c>
      <c r="R18" s="5" t="b">
        <v>1</v>
      </c>
      <c r="S18" s="5" t="b">
        <v>1</v>
      </c>
      <c r="T18" s="5"/>
      <c r="U18" s="5" t="b">
        <v>1</v>
      </c>
      <c r="V18" s="5" t="b">
        <v>1</v>
      </c>
      <c r="W18" s="5" t="b">
        <v>1</v>
      </c>
      <c r="X18" s="5"/>
      <c r="Y18" s="5"/>
      <c r="Z18" s="5"/>
      <c r="AA18" s="5"/>
      <c r="AB18" s="5"/>
      <c r="AC18" s="5"/>
      <c r="AD18" s="5"/>
      <c r="AE18" s="5"/>
      <c r="AF18" s="5"/>
      <c r="AG18" s="44"/>
      <c r="AH18" s="49" cm="1">
        <f t="array" ref="AH18">MAX(FREQUENCY(IF(C18:AG18=TRUE, COLUMN(C18:AG18)), IF(C18:AG18&lt;&gt;TRUE, COLUMN(C18:AG18))))</f>
        <v>7</v>
      </c>
      <c r="AI18" s="50">
        <f t="shared" ref="AI18:AI36" ca="1" si="8">(COUNTIF(C18:AG18,TRUE))/DAY(EOMONTH(TODAY(),0))</f>
        <v>0.35483870967741937</v>
      </c>
    </row>
    <row r="19" spans="1:35" ht="16.3" thickBot="1" x14ac:dyDescent="0.5">
      <c r="A19" s="10" t="s">
        <v>10</v>
      </c>
      <c r="C19" s="4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 t="b">
        <v>1</v>
      </c>
      <c r="P19" s="5" t="b">
        <v>1</v>
      </c>
      <c r="Q19" s="5" t="b">
        <v>1</v>
      </c>
      <c r="R19" s="5" t="b">
        <v>1</v>
      </c>
      <c r="S19" s="5" t="b">
        <v>1</v>
      </c>
      <c r="T19" s="5" t="b">
        <v>1</v>
      </c>
      <c r="U19" s="5" t="b">
        <v>1</v>
      </c>
      <c r="V19" s="5" t="b">
        <v>1</v>
      </c>
      <c r="W19" s="5" t="b">
        <v>1</v>
      </c>
      <c r="X19" s="5" t="b">
        <v>1</v>
      </c>
      <c r="Y19" s="5"/>
      <c r="Z19" s="5"/>
      <c r="AA19" s="5"/>
      <c r="AB19" s="5"/>
      <c r="AC19" s="5"/>
      <c r="AD19" s="5"/>
      <c r="AE19" s="5"/>
      <c r="AF19" s="5"/>
      <c r="AG19" s="44"/>
      <c r="AH19" s="49" cm="1">
        <f t="array" ref="AH19">MAX(FREQUENCY(IF(C19:AG19=TRUE, COLUMN(C19:AG19)), IF(C19:AG19&lt;&gt;TRUE, COLUMN(C19:AG19))))</f>
        <v>10</v>
      </c>
      <c r="AI19" s="50">
        <f t="shared" ca="1" si="8"/>
        <v>0.32258064516129031</v>
      </c>
    </row>
    <row r="20" spans="1:35" ht="16.3" thickBot="1" x14ac:dyDescent="0.5">
      <c r="A20" s="10" t="s">
        <v>11</v>
      </c>
      <c r="C20" s="4"/>
      <c r="D20" s="5"/>
      <c r="E20" s="5"/>
      <c r="F20" s="5"/>
      <c r="G20" s="5"/>
      <c r="H20" s="5"/>
      <c r="I20" s="5" t="b">
        <v>1</v>
      </c>
      <c r="J20" s="5"/>
      <c r="K20" s="5"/>
      <c r="L20" s="5"/>
      <c r="M20" s="5"/>
      <c r="N20" s="5"/>
      <c r="O20" s="5" t="b">
        <v>1</v>
      </c>
      <c r="P20" s="5" t="b">
        <v>1</v>
      </c>
      <c r="Q20" s="5" t="b">
        <v>1</v>
      </c>
      <c r="R20" s="5" t="b">
        <v>1</v>
      </c>
      <c r="S20" s="5" t="b">
        <v>1</v>
      </c>
      <c r="T20" s="5" t="b">
        <v>1</v>
      </c>
      <c r="U20" s="5" t="b">
        <v>1</v>
      </c>
      <c r="V20" s="5" t="b">
        <v>1</v>
      </c>
      <c r="W20" s="5" t="b">
        <v>1</v>
      </c>
      <c r="X20" s="5" t="b">
        <v>1</v>
      </c>
      <c r="Y20" s="5"/>
      <c r="Z20" s="5"/>
      <c r="AA20" s="5"/>
      <c r="AB20" s="5"/>
      <c r="AC20" s="5"/>
      <c r="AD20" s="5"/>
      <c r="AE20" s="5"/>
      <c r="AF20" s="5"/>
      <c r="AG20" s="44"/>
      <c r="AH20" s="49" cm="1">
        <f t="array" ref="AH20">MAX(FREQUENCY(IF(C20:AG20=TRUE, COLUMN(C20:AG20)), IF(C20:AG20&lt;&gt;TRUE, COLUMN(C20:AG20))))</f>
        <v>10</v>
      </c>
      <c r="AI20" s="50">
        <f t="shared" ca="1" si="8"/>
        <v>0.35483870967741937</v>
      </c>
    </row>
    <row r="21" spans="1:35" ht="16.3" thickBot="1" x14ac:dyDescent="0.5">
      <c r="A21" s="10" t="s">
        <v>12</v>
      </c>
      <c r="C21" s="4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44"/>
      <c r="AH21" s="49" cm="1">
        <f t="array" ref="AH21">MAX(FREQUENCY(IF(C21:AG21=TRUE, COLUMN(C21:AG21)), IF(C21:AG21&lt;&gt;TRUE, COLUMN(C21:AG21))))</f>
        <v>0</v>
      </c>
      <c r="AI21" s="50">
        <f t="shared" ca="1" si="8"/>
        <v>0</v>
      </c>
    </row>
    <row r="22" spans="1:35" ht="16.3" thickBot="1" x14ac:dyDescent="0.5">
      <c r="A22" s="11" t="s">
        <v>13</v>
      </c>
      <c r="C22" s="4"/>
      <c r="D22" s="5"/>
      <c r="E22" s="5"/>
      <c r="F22" s="5"/>
      <c r="G22" s="5" t="b">
        <v>1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 t="b">
        <v>1</v>
      </c>
      <c r="AF22" s="5"/>
      <c r="AG22" s="44"/>
      <c r="AH22" s="49" cm="1">
        <f t="array" ref="AH22">MAX(FREQUENCY(IF(C22:AG22=TRUE, COLUMN(C22:AG22)), IF(C22:AG22&lt;&gt;TRUE, COLUMN(C22:AG22))))</f>
        <v>1</v>
      </c>
      <c r="AI22" s="50">
        <f t="shared" ca="1" si="8"/>
        <v>6.4516129032258063E-2</v>
      </c>
    </row>
    <row r="23" spans="1:35" ht="16.3" thickBot="1" x14ac:dyDescent="0.5">
      <c r="A23" s="11" t="s">
        <v>14</v>
      </c>
      <c r="C23" s="4"/>
      <c r="D23" s="5"/>
      <c r="E23" s="5"/>
      <c r="F23" s="5"/>
      <c r="G23" s="5" t="b">
        <v>1</v>
      </c>
      <c r="H23" s="5" t="b">
        <v>1</v>
      </c>
      <c r="I23" s="5" t="b">
        <v>1</v>
      </c>
      <c r="J23" s="5" t="b">
        <v>1</v>
      </c>
      <c r="K23" s="5" t="b">
        <v>1</v>
      </c>
      <c r="L23" s="5" t="b">
        <v>1</v>
      </c>
      <c r="M23" s="5" t="b">
        <v>1</v>
      </c>
      <c r="N23" s="5" t="b">
        <v>1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b">
        <v>1</v>
      </c>
      <c r="AF23" s="5"/>
      <c r="AG23" s="44"/>
      <c r="AH23" s="49" cm="1">
        <f t="array" ref="AH23">MAX(FREQUENCY(IF(C23:AG23=TRUE, COLUMN(C23:AG23)), IF(C23:AG23&lt;&gt;TRUE, COLUMN(C23:AG23))))</f>
        <v>8</v>
      </c>
      <c r="AI23" s="50">
        <f t="shared" ca="1" si="8"/>
        <v>0.29032258064516131</v>
      </c>
    </row>
    <row r="24" spans="1:35" ht="16.3" thickBot="1" x14ac:dyDescent="0.5">
      <c r="A24" s="11" t="s">
        <v>15</v>
      </c>
      <c r="C24" s="4"/>
      <c r="D24" s="5"/>
      <c r="E24" s="5"/>
      <c r="F24" s="5"/>
      <c r="G24" s="5"/>
      <c r="H24" s="5"/>
      <c r="I24" s="5"/>
      <c r="J24" s="5"/>
      <c r="K24" s="5"/>
      <c r="L24" s="5"/>
      <c r="M24" s="5" t="b">
        <v>1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 t="b">
        <v>1</v>
      </c>
      <c r="AF24" s="5"/>
      <c r="AG24" s="44"/>
      <c r="AH24" s="49" cm="1">
        <f t="array" ref="AH24">MAX(FREQUENCY(IF(C24:AG24=TRUE, COLUMN(C24:AG24)), IF(C24:AG24&lt;&gt;TRUE, COLUMN(C24:AG24))))</f>
        <v>1</v>
      </c>
      <c r="AI24" s="50">
        <f t="shared" ca="1" si="8"/>
        <v>6.4516129032258063E-2</v>
      </c>
    </row>
    <row r="25" spans="1:35" ht="16.3" thickBot="1" x14ac:dyDescent="0.5">
      <c r="A25" s="11" t="s">
        <v>16</v>
      </c>
      <c r="C25" s="4"/>
      <c r="D25" s="5"/>
      <c r="E25" s="5"/>
      <c r="F25" s="5"/>
      <c r="G25" s="5"/>
      <c r="H25" s="5"/>
      <c r="I25" s="5"/>
      <c r="J25" s="5"/>
      <c r="K25" s="5"/>
      <c r="L25" s="5"/>
      <c r="M25" s="5" t="b">
        <v>1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 t="b">
        <v>1</v>
      </c>
      <c r="AF25" s="5"/>
      <c r="AG25" s="44"/>
      <c r="AH25" s="49" cm="1">
        <f t="array" ref="AH25">MAX(FREQUENCY(IF(C25:AG25=TRUE, COLUMN(C25:AG25)), IF(C25:AG25&lt;&gt;TRUE, COLUMN(C25:AG25))))</f>
        <v>1</v>
      </c>
      <c r="AI25" s="50">
        <f t="shared" ca="1" si="8"/>
        <v>6.4516129032258063E-2</v>
      </c>
    </row>
    <row r="26" spans="1:35" ht="16.3" thickBot="1" x14ac:dyDescent="0.5">
      <c r="A26" s="10" t="s">
        <v>17</v>
      </c>
      <c r="C26" s="4"/>
      <c r="D26" s="5"/>
      <c r="E26" s="5"/>
      <c r="F26" s="5"/>
      <c r="G26" s="5"/>
      <c r="H26" s="5"/>
      <c r="I26" s="5"/>
      <c r="J26" s="5"/>
      <c r="K26" s="5"/>
      <c r="L26" s="5"/>
      <c r="M26" s="5" t="b">
        <v>1</v>
      </c>
      <c r="N26" s="5"/>
      <c r="O26" s="5"/>
      <c r="P26" s="5"/>
      <c r="Q26" s="5"/>
      <c r="R26" s="5"/>
      <c r="S26" s="5" t="b">
        <v>1</v>
      </c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 t="b">
        <v>1</v>
      </c>
      <c r="AF26" s="5"/>
      <c r="AG26" s="44"/>
      <c r="AH26" s="49" cm="1">
        <f t="array" ref="AH26">MAX(FREQUENCY(IF(C26:AG26=TRUE, COLUMN(C26:AG26)), IF(C26:AG26&lt;&gt;TRUE, COLUMN(C26:AG26))))</f>
        <v>1</v>
      </c>
      <c r="AI26" s="50">
        <f t="shared" ca="1" si="8"/>
        <v>9.6774193548387094E-2</v>
      </c>
    </row>
    <row r="27" spans="1:35" ht="16.3" thickBot="1" x14ac:dyDescent="0.5">
      <c r="A27" s="11" t="s">
        <v>18</v>
      </c>
      <c r="C27" s="4"/>
      <c r="D27" s="5" t="b">
        <v>1</v>
      </c>
      <c r="E27" s="5"/>
      <c r="F27" s="5"/>
      <c r="G27" s="5"/>
      <c r="H27" s="5"/>
      <c r="I27" s="5"/>
      <c r="J27" s="5"/>
      <c r="K27" s="5"/>
      <c r="L27" s="5"/>
      <c r="M27" s="5" t="b">
        <v>1</v>
      </c>
      <c r="N27" s="5"/>
      <c r="O27" s="5"/>
      <c r="P27" s="5"/>
      <c r="Q27" s="5"/>
      <c r="R27" s="5"/>
      <c r="S27" s="5"/>
      <c r="T27" s="5"/>
      <c r="U27" s="5"/>
      <c r="V27" s="5"/>
      <c r="W27" s="5" t="b">
        <v>1</v>
      </c>
      <c r="X27" s="5" t="b">
        <v>1</v>
      </c>
      <c r="Y27" s="5" t="b">
        <v>1</v>
      </c>
      <c r="Z27" s="5" t="b">
        <v>1</v>
      </c>
      <c r="AA27" s="5" t="b">
        <v>1</v>
      </c>
      <c r="AB27" s="5" t="b">
        <v>1</v>
      </c>
      <c r="AC27" s="5" t="b">
        <v>1</v>
      </c>
      <c r="AD27" s="5" t="b">
        <v>1</v>
      </c>
      <c r="AE27" s="5" t="b">
        <v>1</v>
      </c>
      <c r="AF27" s="5"/>
      <c r="AG27" s="44"/>
      <c r="AH27" s="49" cm="1">
        <f t="array" ref="AH27">MAX(FREQUENCY(IF(C27:AG27=TRUE, COLUMN(C27:AG27)), IF(C27:AG27&lt;&gt;TRUE, COLUMN(C27:AG27))))</f>
        <v>9</v>
      </c>
      <c r="AI27" s="50">
        <f t="shared" ca="1" si="8"/>
        <v>0.35483870967741937</v>
      </c>
    </row>
    <row r="28" spans="1:35" ht="16.3" thickBot="1" x14ac:dyDescent="0.5">
      <c r="A28" s="11" t="s">
        <v>7</v>
      </c>
      <c r="C28" s="4"/>
      <c r="D28" s="5"/>
      <c r="E28" s="5"/>
      <c r="F28" s="5"/>
      <c r="G28" s="5"/>
      <c r="H28" s="5"/>
      <c r="I28" s="5" t="b">
        <v>1</v>
      </c>
      <c r="J28" s="5"/>
      <c r="K28" s="5"/>
      <c r="L28" s="5"/>
      <c r="M28" s="5" t="b">
        <v>1</v>
      </c>
      <c r="N28" s="5"/>
      <c r="O28" s="5"/>
      <c r="P28" s="5"/>
      <c r="Q28" s="5"/>
      <c r="R28" s="5"/>
      <c r="S28" s="5"/>
      <c r="T28" s="5"/>
      <c r="U28" s="5"/>
      <c r="V28" s="5"/>
      <c r="W28" s="5" t="b">
        <v>1</v>
      </c>
      <c r="X28" s="5" t="b">
        <v>1</v>
      </c>
      <c r="Y28" s="5" t="b">
        <v>1</v>
      </c>
      <c r="Z28" s="5"/>
      <c r="AA28" s="5"/>
      <c r="AB28" s="5"/>
      <c r="AC28" s="5"/>
      <c r="AD28" s="5"/>
      <c r="AE28" s="5"/>
      <c r="AF28" s="5"/>
      <c r="AG28" s="44"/>
      <c r="AH28" s="49" cm="1">
        <f t="array" ref="AH28">MAX(FREQUENCY(IF(C28:AG28=TRUE, COLUMN(C28:AG28)), IF(C28:AG28&lt;&gt;TRUE, COLUMN(C28:AG28))))</f>
        <v>3</v>
      </c>
      <c r="AI28" s="50">
        <f t="shared" ca="1" si="8"/>
        <v>0.16129032258064516</v>
      </c>
    </row>
    <row r="29" spans="1:35" ht="16.3" thickBot="1" x14ac:dyDescent="0.5">
      <c r="A29" s="11" t="s">
        <v>19</v>
      </c>
      <c r="C29" s="4"/>
      <c r="D29" s="5"/>
      <c r="E29" s="5"/>
      <c r="F29" s="5"/>
      <c r="G29" s="5"/>
      <c r="H29" s="5"/>
      <c r="I29" s="5" t="b">
        <v>1</v>
      </c>
      <c r="J29" s="5"/>
      <c r="K29" s="5"/>
      <c r="L29" s="5"/>
      <c r="M29" s="5" t="b">
        <v>1</v>
      </c>
      <c r="N29" s="5"/>
      <c r="O29" s="5"/>
      <c r="P29" s="5"/>
      <c r="Q29" s="5"/>
      <c r="R29" s="5"/>
      <c r="S29" s="5"/>
      <c r="T29" s="5"/>
      <c r="U29" s="5"/>
      <c r="V29" s="5"/>
      <c r="W29" s="5" t="b">
        <v>1</v>
      </c>
      <c r="X29" s="5" t="b">
        <v>1</v>
      </c>
      <c r="Y29" s="5" t="b">
        <v>1</v>
      </c>
      <c r="Z29" s="5"/>
      <c r="AA29" s="5"/>
      <c r="AB29" s="5"/>
      <c r="AC29" s="5"/>
      <c r="AD29" s="5"/>
      <c r="AE29" s="5"/>
      <c r="AF29" s="5"/>
      <c r="AG29" s="44"/>
      <c r="AH29" s="49" cm="1">
        <f t="array" ref="AH29">MAX(FREQUENCY(IF(C29:AG29=TRUE, COLUMN(C29:AG29)), IF(C29:AG29&lt;&gt;TRUE, COLUMN(C29:AG29))))</f>
        <v>3</v>
      </c>
      <c r="AI29" s="50">
        <f t="shared" ca="1" si="8"/>
        <v>0.16129032258064516</v>
      </c>
    </row>
    <row r="30" spans="1:35" ht="16.3" thickBot="1" x14ac:dyDescent="0.5">
      <c r="A30" s="11" t="s">
        <v>20</v>
      </c>
      <c r="C30" s="4"/>
      <c r="D30" s="5"/>
      <c r="E30" s="5"/>
      <c r="F30" s="5"/>
      <c r="G30" s="5"/>
      <c r="H30" s="5"/>
      <c r="I30" s="5" t="b">
        <v>1</v>
      </c>
      <c r="J30" s="5"/>
      <c r="K30" s="5"/>
      <c r="L30" s="5"/>
      <c r="M30" s="5" t="b">
        <v>1</v>
      </c>
      <c r="N30" s="5"/>
      <c r="O30" s="5"/>
      <c r="P30" s="5"/>
      <c r="Q30" s="5"/>
      <c r="R30" s="5"/>
      <c r="S30" s="5"/>
      <c r="T30" s="5"/>
      <c r="U30" s="5"/>
      <c r="V30" s="5"/>
      <c r="W30" s="5" t="b">
        <v>1</v>
      </c>
      <c r="X30" s="5" t="b">
        <v>1</v>
      </c>
      <c r="Y30" s="5" t="b">
        <v>1</v>
      </c>
      <c r="Z30" s="5"/>
      <c r="AA30" s="5" t="b">
        <v>1</v>
      </c>
      <c r="AB30" s="5"/>
      <c r="AC30" s="5"/>
      <c r="AD30" s="5"/>
      <c r="AE30" s="5"/>
      <c r="AF30" s="5"/>
      <c r="AG30" s="44"/>
      <c r="AH30" s="49" cm="1">
        <f t="array" ref="AH30">MAX(FREQUENCY(IF(C30:AG30=TRUE, COLUMN(C30:AG30)), IF(C30:AG30&lt;&gt;TRUE, COLUMN(C30:AG30))))</f>
        <v>3</v>
      </c>
      <c r="AI30" s="50">
        <f t="shared" ca="1" si="8"/>
        <v>0.19354838709677419</v>
      </c>
    </row>
    <row r="31" spans="1:35" ht="16.3" thickBot="1" x14ac:dyDescent="0.5">
      <c r="A31" s="10" t="s">
        <v>24</v>
      </c>
      <c r="C31" s="4" t="b">
        <v>1</v>
      </c>
      <c r="D31" s="5"/>
      <c r="E31" s="5"/>
      <c r="F31" s="5"/>
      <c r="G31" s="5"/>
      <c r="H31" s="5"/>
      <c r="I31" s="5"/>
      <c r="J31" s="5"/>
      <c r="K31" s="5"/>
      <c r="L31" s="5"/>
      <c r="M31" s="5" t="b">
        <v>1</v>
      </c>
      <c r="N31" s="5"/>
      <c r="O31" s="5"/>
      <c r="P31" s="5"/>
      <c r="Q31" s="5"/>
      <c r="R31" s="5"/>
      <c r="S31" s="5"/>
      <c r="T31" s="5"/>
      <c r="U31" s="5"/>
      <c r="V31" s="5"/>
      <c r="W31" s="5" t="b">
        <v>1</v>
      </c>
      <c r="X31" s="5" t="b">
        <v>1</v>
      </c>
      <c r="Y31" s="5" t="b">
        <v>1</v>
      </c>
      <c r="Z31" s="5"/>
      <c r="AA31" s="5" t="b">
        <v>1</v>
      </c>
      <c r="AB31" s="5"/>
      <c r="AC31" s="5"/>
      <c r="AD31" s="5"/>
      <c r="AE31" s="5"/>
      <c r="AF31" s="5"/>
      <c r="AG31" s="44"/>
      <c r="AH31" s="49" cm="1">
        <f t="array" ref="AH31">MAX(FREQUENCY(IF(C31:AG31=TRUE, COLUMN(C31:AG31)), IF(C31:AG31&lt;&gt;TRUE, COLUMN(C31:AG31))))</f>
        <v>3</v>
      </c>
      <c r="AI31" s="50">
        <f t="shared" ca="1" si="8"/>
        <v>0.19354838709677419</v>
      </c>
    </row>
    <row r="32" spans="1:35" ht="16.3" thickBot="1" x14ac:dyDescent="0.5">
      <c r="A32" s="10" t="s">
        <v>25</v>
      </c>
      <c r="C32" s="4"/>
      <c r="D32" s="5"/>
      <c r="E32" s="5"/>
      <c r="F32" s="5"/>
      <c r="G32" s="5" t="b">
        <v>1</v>
      </c>
      <c r="H32" s="5"/>
      <c r="I32" s="5"/>
      <c r="J32" s="5"/>
      <c r="K32" s="5"/>
      <c r="L32" s="5"/>
      <c r="M32" s="5" t="b">
        <v>1</v>
      </c>
      <c r="N32" s="5" t="b">
        <v>1</v>
      </c>
      <c r="O32" s="5"/>
      <c r="P32" s="5"/>
      <c r="Q32" s="5"/>
      <c r="R32" s="5"/>
      <c r="S32" s="5"/>
      <c r="T32" s="5"/>
      <c r="U32" s="5"/>
      <c r="V32" s="5"/>
      <c r="W32" s="5" t="b">
        <v>1</v>
      </c>
      <c r="X32" s="5" t="b">
        <v>1</v>
      </c>
      <c r="Y32" s="5" t="b">
        <v>1</v>
      </c>
      <c r="Z32" s="5"/>
      <c r="AA32" s="5" t="b">
        <v>1</v>
      </c>
      <c r="AB32" s="5"/>
      <c r="AC32" s="5"/>
      <c r="AD32" s="5"/>
      <c r="AE32" s="5"/>
      <c r="AF32" s="5"/>
      <c r="AG32" s="44"/>
      <c r="AH32" s="49" cm="1">
        <f t="array" ref="AH32">MAX(FREQUENCY(IF(C32:AG32=TRUE, COLUMN(C32:AG32)), IF(C32:AG32&lt;&gt;TRUE, COLUMN(C32:AG32))))</f>
        <v>3</v>
      </c>
      <c r="AI32" s="50">
        <f t="shared" ca="1" si="8"/>
        <v>0.22580645161290322</v>
      </c>
    </row>
    <row r="33" spans="1:35" ht="16.3" thickBot="1" x14ac:dyDescent="0.5">
      <c r="A33" s="11" t="s">
        <v>21</v>
      </c>
      <c r="C33" s="4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 t="b">
        <v>1</v>
      </c>
      <c r="AB33" s="5"/>
      <c r="AC33" s="5"/>
      <c r="AD33" s="5"/>
      <c r="AE33" s="5"/>
      <c r="AF33" s="5"/>
      <c r="AG33" s="44"/>
      <c r="AH33" s="49" cm="1">
        <f t="array" ref="AH33">MAX(FREQUENCY(IF(C33:AG33=TRUE, COLUMN(C33:AG33)), IF(C33:AG33&lt;&gt;TRUE, COLUMN(C33:AG33))))</f>
        <v>1</v>
      </c>
      <c r="AI33" s="50">
        <f t="shared" ca="1" si="8"/>
        <v>3.2258064516129031E-2</v>
      </c>
    </row>
    <row r="34" spans="1:35" ht="16.3" thickBot="1" x14ac:dyDescent="0.5">
      <c r="A34" s="10" t="s">
        <v>22</v>
      </c>
      <c r="C34" s="4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 t="b">
        <v>1</v>
      </c>
      <c r="AB34" s="5"/>
      <c r="AC34" s="5"/>
      <c r="AD34" s="5"/>
      <c r="AE34" s="5"/>
      <c r="AF34" s="5"/>
      <c r="AG34" s="44"/>
      <c r="AH34" s="49" cm="1">
        <f t="array" ref="AH34">MAX(FREQUENCY(IF(C34:AG34=TRUE, COLUMN(C34:AG34)), IF(C34:AG34&lt;&gt;TRUE, COLUMN(C34:AG34))))</f>
        <v>1</v>
      </c>
      <c r="AI34" s="50">
        <f t="shared" ca="1" si="8"/>
        <v>3.2258064516129031E-2</v>
      </c>
    </row>
    <row r="35" spans="1:35" ht="16.3" thickBot="1" x14ac:dyDescent="0.5">
      <c r="A35" s="11" t="s">
        <v>23</v>
      </c>
      <c r="C35" s="4" t="b">
        <v>1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B35" s="5"/>
      <c r="AC35" s="5"/>
      <c r="AD35" s="5"/>
      <c r="AE35" s="5"/>
      <c r="AF35" s="5" t="b">
        <v>1</v>
      </c>
      <c r="AG35" s="44"/>
      <c r="AH35" s="49" cm="1">
        <f t="array" ref="AH35">MAX(FREQUENCY(IF(C35:AG35=TRUE, COLUMN(C35:AG35)), IF(C35:AG35&lt;&gt;TRUE, COLUMN(C35:AG35))))</f>
        <v>1</v>
      </c>
      <c r="AI35" s="50">
        <f t="shared" ca="1" si="8"/>
        <v>6.4516129032258063E-2</v>
      </c>
    </row>
    <row r="36" spans="1:35" ht="16.3" thickBot="1" x14ac:dyDescent="0.5">
      <c r="A36" s="10" t="s">
        <v>26</v>
      </c>
      <c r="C36" s="7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" t="b">
        <v>1</v>
      </c>
      <c r="AB36" s="8"/>
      <c r="AC36" s="8"/>
      <c r="AD36" s="8"/>
      <c r="AE36" s="8"/>
      <c r="AF36" s="8"/>
      <c r="AG36" s="45"/>
      <c r="AH36" s="49" cm="1">
        <f t="array" ref="AH36">MAX(FREQUENCY(IF(C36:AG36=TRUE, COLUMN(C36:AG36)), IF(C36:AG36&lt;&gt;TRUE, COLUMN(C36:AG36))))</f>
        <v>1</v>
      </c>
      <c r="AI36" s="50">
        <f t="shared" ca="1" si="8"/>
        <v>3.2258064516129031E-2</v>
      </c>
    </row>
    <row r="62" spans="2:32" hidden="1" x14ac:dyDescent="0.4">
      <c r="B62" s="3">
        <f>DATE(2025,5,1)</f>
        <v>45778</v>
      </c>
      <c r="C62" s="3">
        <f>DATE(2025,5,2)</f>
        <v>45779</v>
      </c>
      <c r="D62" s="3">
        <f>DATE(2025,5,3)</f>
        <v>45780</v>
      </c>
      <c r="E62" s="3">
        <f t="shared" ref="E62:AF62" si="9">D62+1</f>
        <v>45781</v>
      </c>
      <c r="F62" s="3">
        <f t="shared" si="9"/>
        <v>45782</v>
      </c>
      <c r="G62" s="3">
        <f t="shared" si="9"/>
        <v>45783</v>
      </c>
      <c r="H62" s="3">
        <f t="shared" si="9"/>
        <v>45784</v>
      </c>
      <c r="I62" s="3">
        <f t="shared" si="9"/>
        <v>45785</v>
      </c>
      <c r="J62" s="3">
        <f t="shared" si="9"/>
        <v>45786</v>
      </c>
      <c r="K62" s="3">
        <f t="shared" si="9"/>
        <v>45787</v>
      </c>
      <c r="L62" s="3">
        <f t="shared" si="9"/>
        <v>45788</v>
      </c>
      <c r="M62" s="3">
        <f t="shared" si="9"/>
        <v>45789</v>
      </c>
      <c r="N62" s="3">
        <f t="shared" si="9"/>
        <v>45790</v>
      </c>
      <c r="O62" s="3">
        <f t="shared" si="9"/>
        <v>45791</v>
      </c>
      <c r="P62" s="3">
        <f t="shared" si="9"/>
        <v>45792</v>
      </c>
      <c r="Q62" s="3">
        <f t="shared" si="9"/>
        <v>45793</v>
      </c>
      <c r="R62" s="3">
        <f t="shared" si="9"/>
        <v>45794</v>
      </c>
      <c r="S62" s="3">
        <f t="shared" si="9"/>
        <v>45795</v>
      </c>
      <c r="T62" s="3">
        <f t="shared" si="9"/>
        <v>45796</v>
      </c>
      <c r="U62" s="3">
        <f t="shared" si="9"/>
        <v>45797</v>
      </c>
      <c r="V62" s="3">
        <f t="shared" si="9"/>
        <v>45798</v>
      </c>
      <c r="W62" s="3">
        <f t="shared" si="9"/>
        <v>45799</v>
      </c>
      <c r="X62" s="3">
        <f t="shared" si="9"/>
        <v>45800</v>
      </c>
      <c r="Y62" s="3">
        <f t="shared" si="9"/>
        <v>45801</v>
      </c>
      <c r="Z62" s="3">
        <f t="shared" si="9"/>
        <v>45802</v>
      </c>
      <c r="AA62" s="3">
        <f t="shared" si="9"/>
        <v>45803</v>
      </c>
      <c r="AB62" s="3">
        <f t="shared" si="9"/>
        <v>45804</v>
      </c>
      <c r="AC62" s="3">
        <f t="shared" si="9"/>
        <v>45805</v>
      </c>
      <c r="AD62" s="3">
        <f t="shared" si="9"/>
        <v>45806</v>
      </c>
      <c r="AE62" s="3">
        <f t="shared" si="9"/>
        <v>45807</v>
      </c>
      <c r="AF62" s="3">
        <f t="shared" si="9"/>
        <v>45808</v>
      </c>
    </row>
  </sheetData>
  <mergeCells count="15">
    <mergeCell ref="AE15:AG15"/>
    <mergeCell ref="AH1:AI2"/>
    <mergeCell ref="AH3:AH6"/>
    <mergeCell ref="AI3:AI6"/>
    <mergeCell ref="AJ1:AK2"/>
    <mergeCell ref="AJ3:AJ6"/>
    <mergeCell ref="AK3:AK6"/>
    <mergeCell ref="AH15:AH16"/>
    <mergeCell ref="AI15:AI16"/>
    <mergeCell ref="A12:AI14"/>
    <mergeCell ref="A1:A6"/>
    <mergeCell ref="C15:I15"/>
    <mergeCell ref="J15:P15"/>
    <mergeCell ref="Q15:W15"/>
    <mergeCell ref="X15:AD15"/>
  </mergeCells>
  <phoneticPr fontId="4" type="noConversion"/>
  <conditionalFormatting sqref="F18:AG18 C18:D18 C17:AG17 O18:X20 C36:AG36 C35:Z35 AB35:AG35 C19:AG34">
    <cfRule type="timePeriod" dxfId="8" priority="15" timePeriod="today">
      <formula>FLOOR(C17,1)=TODAY()</formula>
    </cfRule>
  </conditionalFormatting>
  <conditionalFormatting sqref="B62:AF62">
    <cfRule type="timePeriod" dxfId="7" priority="12" timePeriod="today">
      <formula>FLOOR(B62,1)=TODAY()</formula>
    </cfRule>
  </conditionalFormatting>
  <conditionalFormatting sqref="C16:AG16">
    <cfRule type="expression" dxfId="6" priority="9">
      <formula>C16=DAY(TODAY())</formula>
    </cfRule>
  </conditionalFormatting>
  <conditionalFormatting sqref="C36:AG36 C35:Z35 AB35:AG35 C17:AG34">
    <cfRule type="cellIs" dxfId="5" priority="4" operator="equal">
      <formula>TRUE</formula>
    </cfRule>
    <cfRule type="cellIs" dxfId="4" priority="5" operator="equal">
      <formula>TRUE</formula>
    </cfRule>
    <cfRule type="containsText" dxfId="3" priority="7" operator="containsText" text="TRUE">
      <formula>NOT(ISERROR(SEARCH("TRUE",C17)))</formula>
    </cfRule>
    <cfRule type="containsText" priority="8" operator="containsText" text="TRUE">
      <formula>NOT(ISERROR(SEARCH("TRUE",C17)))</formula>
    </cfRule>
  </conditionalFormatting>
  <conditionalFormatting sqref="AC32">
    <cfRule type="cellIs" dxfId="2" priority="6" operator="equal">
      <formula>TRUE</formula>
    </cfRule>
  </conditionalFormatting>
  <conditionalFormatting sqref="AH17:AH36">
    <cfRule type="top10" dxfId="1" priority="2" rank="1"/>
  </conditionalFormatting>
  <conditionalFormatting sqref="AI17:AI36">
    <cfRule type="top10" dxfId="0" priority="1" rank="1"/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Rakesh mourya Sirigineedi</dc:creator>
  <cp:lastModifiedBy>Rakesh mourya Sirigineedi</cp:lastModifiedBy>
  <dcterms:created xsi:type="dcterms:W3CDTF">2025-05-02T16:45:36Z</dcterms:created>
  <dcterms:modified xsi:type="dcterms:W3CDTF">2025-05-12T02:34:16Z</dcterms:modified>
</cp:coreProperties>
</file>